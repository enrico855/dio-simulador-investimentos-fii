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ric\.gemini\antigravity\brain\dcc52bf4-d868-4ccc-a9b6-2e82c4038370\scratch\"/>
    </mc:Choice>
  </mc:AlternateContent>
  <bookViews>
    <workbookView xWindow="0" yWindow="0" windowWidth="2370" windowHeight="105" firstSheet="1" activeTab="1"/>
  </bookViews>
  <sheets>
    <sheet name="Simulador FIIs" sheetId="1" r:id="rId1"/>
    <sheet name="Matriz_Alocaca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1" l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C35" i="1"/>
  <c r="J29" i="1"/>
  <c r="I29" i="1"/>
  <c r="H29" i="1"/>
  <c r="G29" i="1"/>
  <c r="F29" i="1"/>
  <c r="E29" i="1"/>
  <c r="D29" i="1"/>
  <c r="C29" i="1"/>
  <c r="J28" i="1"/>
  <c r="I28" i="1"/>
  <c r="H28" i="1"/>
  <c r="G28" i="1"/>
  <c r="F28" i="1"/>
  <c r="E28" i="1"/>
  <c r="D28" i="1"/>
  <c r="C28" i="1"/>
  <c r="J27" i="1"/>
  <c r="I27" i="1"/>
  <c r="H27" i="1"/>
  <c r="G27" i="1"/>
  <c r="F27" i="1"/>
  <c r="E27" i="1"/>
  <c r="D27" i="1"/>
  <c r="C27" i="1"/>
  <c r="J26" i="1"/>
  <c r="I26" i="1"/>
  <c r="H26" i="1"/>
  <c r="G26" i="1"/>
  <c r="D5" i="1" s="1"/>
  <c r="F26" i="1"/>
  <c r="E26" i="1"/>
  <c r="D26" i="1"/>
  <c r="C26" i="1"/>
  <c r="J25" i="1"/>
  <c r="I25" i="1"/>
  <c r="H25" i="1"/>
  <c r="G25" i="1"/>
  <c r="F25" i="1"/>
  <c r="E25" i="1"/>
  <c r="D25" i="1"/>
  <c r="C25" i="1"/>
  <c r="D12" i="1"/>
  <c r="H5" i="1"/>
  <c r="F5" i="1"/>
  <c r="B5" i="1"/>
</calcChain>
</file>

<file path=xl/sharedStrings.xml><?xml version="1.0" encoding="utf-8"?>
<sst xmlns="http://schemas.openxmlformats.org/spreadsheetml/2006/main" count="104" uniqueCount="70">
  <si>
    <t>CHAVE</t>
  </si>
  <si>
    <t>PERFIL</t>
  </si>
  <si>
    <t>TIPO DE FII</t>
  </si>
  <si>
    <t>% RECOMENDADO</t>
  </si>
  <si>
    <t>Conservador-PAPEL</t>
  </si>
  <si>
    <t>Conservador</t>
  </si>
  <si>
    <t>PAPEL</t>
  </si>
  <si>
    <t>Conservador-TIJOLO</t>
  </si>
  <si>
    <t>TIJOLO</t>
  </si>
  <si>
    <t>Conservador-HIBRIDOS</t>
  </si>
  <si>
    <t>HIBRIDOS</t>
  </si>
  <si>
    <t>Conservador-FOFs</t>
  </si>
  <si>
    <t>FOFs</t>
  </si>
  <si>
    <t>Conservador-DESENVOLVIMENTO</t>
  </si>
  <si>
    <t>DESENVOLVIMENTO</t>
  </si>
  <si>
    <t>Conservador-HOTELARIAS</t>
  </si>
  <si>
    <t>HOTELARIAS</t>
  </si>
  <si>
    <t>Moderado-PAPEL</t>
  </si>
  <si>
    <t>Moderado</t>
  </si>
  <si>
    <t>Moderado-TIJOLO</t>
  </si>
  <si>
    <t>Moderado-HIBRIDOS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</si>
  <si>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</si>
  <si>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</si>
  <si>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</si>
  <si>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</si>
  <si>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</si>
  <si>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</si>
  <si>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Agressivo-HIBRIDOS</t>
  </si>
  <si>
    <t>Agressivo-FOFs</t>
  </si>
  <si>
    <t>Agressivo-DESENVOLVIMENTO</t>
  </si>
  <si>
    <t>Agressivo-HOTELARIAS</t>
  </si>
  <si>
    <t>SIMULADOR DE INVESTIMENTOS EM FIIs - PRO</t>
  </si>
  <si>
    <t>Planejamento Financeiro, Reajuste de Inflacao e Alocacao Inteligente por Perfil</t>
  </si>
  <si>
    <t>Aporte Mensal Inicial</t>
  </si>
  <si>
    <t>Patrimonio Estimado (5 Anos)</t>
  </si>
  <si>
    <t>Lucro em Juros Compostos</t>
  </si>
  <si>
    <t>Renda Mensal (Dividendos)</t>
  </si>
  <si>
    <t>[1] PARAMETROS DA SIMULACAO DE INVESTIMENTO</t>
  </si>
  <si>
    <t>Salario Mensal do Investidor</t>
  </si>
  <si>
    <t>Percentual Sugerido para Investir</t>
  </si>
  <si>
    <t>Sugestao de Aporte (30% do Salario)</t>
  </si>
  <si>
    <t>Aporte Mensal Praticado (Editable)</t>
  </si>
  <si>
    <t>Periodo Base da Simulacao (Anos)</t>
  </si>
  <si>
    <t>Taxa de Inflacao Anual Estimada (IPCA)</t>
  </si>
  <si>
    <t>Taxa de Rendimento Mensal dos FIIs</t>
  </si>
  <si>
    <t>Dividend Yield Mensal Medio (DY)</t>
  </si>
  <si>
    <t>[2] PROJECAO TEMPORAL: NOMINAL vs. REAJUSTE DE INFLACAO E JUROS COMPOSTOS</t>
  </si>
  <si>
    <t>Prazo (Anos)</t>
  </si>
  <si>
    <t>Meses</t>
  </si>
  <si>
    <t>Aporte Reajustado (Fim)</t>
  </si>
  <si>
    <t>Total Investido (Sem Inflacao)</t>
  </si>
  <si>
    <t>Total Investido (Com Inflacao)</t>
  </si>
  <si>
    <t>Patrimonio Acumulado (Nominal)</t>
  </si>
  <si>
    <t>Lucro dos Juros (R$)</t>
  </si>
  <si>
    <t>Dividendo Mensal (R$)</t>
  </si>
  <si>
    <t>Cotas Novas/Mes (R$ 100)</t>
  </si>
  <si>
    <t>[3] ESTRATEGIA DE ALOCACAO POR PERFIL DE INVESTIDOR</t>
  </si>
  <si>
    <t>Perfil Selecionado</t>
  </si>
  <si>
    <t>Valor a Ser Investido / Mes</t>
  </si>
  <si>
    <t>Tipo de FII</t>
  </si>
  <si>
    <t>Descricao do Segmento</t>
  </si>
  <si>
    <t>% Sugerido</t>
  </si>
  <si>
    <t>Valor Alocado (R$)</t>
  </si>
  <si>
    <t>Certificados de Recebiveis Imobiliarios (CRI)</t>
  </si>
  <si>
    <t>Shopping Centers, Galpoes Logisticos, Lajes Corporativas</t>
  </si>
  <si>
    <t>Mistura de Tijolo, Papel e Outros Fundos</t>
  </si>
  <si>
    <t>Fundos de Fundos Imobiliarios</t>
  </si>
  <si>
    <t>Projetos de Construcao e Incorporacao</t>
  </si>
  <si>
    <t>Empreendimentos Hoteleiros e Flats</t>
  </si>
  <si>
    <t>TOTAL ALOCADO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</si>
</sst>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R$&quot;#,##0.00"/>
    <numFmt numFmtId="166" formatCode="0.000%"/>
  </numFmts>
  <fonts count="19" x14ac:knownFonts="1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  <font>
      <sz val="11"/>
      <color rgb="FFF8FAFC"/>
      <name val="Calibri"/>
      <family val="2"/>
      <scheme val="minor"/>
    </font>
    <font>
      <b/>
      <sz val="16"/>
      <color rgb="FF38BDF8"/>
      <name val="Calibri"/>
      <family val="2"/>
      <scheme val="minor"/>
    </font>
    <font>
      <sz val="10"/>
      <color rgb="FF94A3B8"/>
      <name val="Calibri"/>
      <family val="2"/>
      <scheme val="minor"/>
    </font>
    <font>
      <sz val="9"/>
      <color rgb="FF94A3B8"/>
      <name val="Calibri"/>
      <family val="2"/>
      <scheme val="minor"/>
    </font>
    <font>
      <b/>
      <sz val="14"/>
      <color rgb="FF38BDF8"/>
      <name val="Calibri"/>
      <family val="2"/>
      <scheme val="minor"/>
    </font>
    <font>
      <b/>
      <sz val="14"/>
      <color rgb="FF4ADE80"/>
      <name val="Calibri"/>
      <family val="2"/>
      <scheme val="minor"/>
    </font>
    <font>
      <b/>
      <sz val="14"/>
      <color rgb="FFFACC15"/>
      <name val="Calibri"/>
      <family val="2"/>
      <scheme val="minor"/>
    </font>
    <font>
      <sz val="10"/>
      <color rgb="FFF8FAFC"/>
      <name val="Calibri"/>
      <family val="2"/>
      <scheme val="minor"/>
    </font>
    <font>
      <b/>
      <sz val="10"/>
      <color rgb="FF38BDF8"/>
      <name val="Calibri"/>
      <family val="2"/>
      <scheme val="minor"/>
    </font>
    <font>
      <b/>
      <sz val="10"/>
      <color rgb="FF4ADE80"/>
      <name val="Calibri"/>
      <family val="2"/>
      <scheme val="minor"/>
    </font>
    <font>
      <b/>
      <sz val="9"/>
      <color rgb="FFF8FAFC"/>
      <name val="Calibri"/>
      <family val="2"/>
      <scheme val="minor"/>
    </font>
    <font>
      <b/>
      <sz val="11"/>
      <color rgb="FF4ADE80"/>
      <name val="Calibri"/>
      <family val="2"/>
      <scheme val="minor"/>
    </font>
    <font>
      <sz val="11"/>
      <color rgb="FFFACC15"/>
      <name val="Calibri"/>
      <family val="2"/>
      <scheme val="minor"/>
    </font>
    <font>
      <b/>
      <sz val="10"/>
      <color rgb="FFF8FAFC"/>
      <name val="Calibri"/>
      <family val="2"/>
      <scheme val="minor"/>
    </font>
    <font>
      <sz val="9"/>
      <color rgb="FFF8FAFC"/>
      <name val="Calibri"/>
      <family val="2"/>
      <scheme val="minor"/>
    </font>
    <font>
      <b/>
      <sz val="11"/>
      <color rgb="FFFACC15"/>
      <name val="Calibri"/>
      <family val="2"/>
      <scheme val="minor"/>
    </font>
    <font>
      <b/>
      <sz val="11"/>
      <color rgb="FFF8FAF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/>
    <xf numFmtId="164" fontId="2" fillId="2" borderId="0" xfId="0" applyNumberFormat="1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9" fillId="2" borderId="0" xfId="0" applyFont="1" applyFill="1"/>
    <xf numFmtId="0" fontId="9" fillId="2" borderId="0" xfId="0" applyFont="1" applyFill="1"/>
    <xf numFmtId="165" fontId="10" fillId="4" borderId="2" xfId="0" applyNumberFormat="1" applyFont="1" applyFill="1" applyBorder="1" applyAlignment="1">
      <alignment horizontal="center"/>
    </xf>
    <xf numFmtId="164" fontId="10" fillId="4" borderId="2" xfId="0" applyNumberFormat="1" applyFont="1" applyFill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1" fontId="10" fillId="4" borderId="2" xfId="0" applyNumberFormat="1" applyFont="1" applyFill="1" applyBorder="1" applyAlignment="1">
      <alignment horizontal="center"/>
    </xf>
    <xf numFmtId="10" fontId="10" fillId="4" borderId="2" xfId="0" applyNumberFormat="1" applyFont="1" applyFill="1" applyBorder="1" applyAlignment="1">
      <alignment horizontal="center"/>
    </xf>
    <xf numFmtId="166" fontId="10" fillId="4" borderId="2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1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6" fillId="3" borderId="1" xfId="0" applyFont="1" applyFill="1" applyBorder="1"/>
    <xf numFmtId="164" fontId="17" fillId="3" borderId="1" xfId="0" applyNumberFormat="1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18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/>
  </sheetViews>
  <sheetFormatPr defaultRowHeight="15" x14ac:dyDescent="0.25"/>
  <cols>
    <col min="2" max="2" width="24.7109375" customWidth="1"/>
    <col min="3" max="3" width="14.7109375" customWidth="1"/>
    <col min="4" max="4" width="24.7109375" customWidth="1"/>
    <col min="5" max="7" width="26.7109375" customWidth="1"/>
    <col min="8" max="8" width="24.7109375" customWidth="1"/>
    <col min="9" max="9" width="22.7109375" customWidth="1"/>
    <col min="10" max="10" width="24.7109375" customWidth="1"/>
  </cols>
  <sheetData>
    <row r="1" spans="1:13" ht="21" x14ac:dyDescent="0.35">
      <c r="A1" s="1"/>
      <c r="B1" s="6" t="s">
        <v>31</v>
      </c>
      <c r="C1" s="5"/>
      <c r="D1" s="5"/>
      <c r="E1" s="5"/>
      <c r="F1" s="5"/>
      <c r="G1" s="5"/>
      <c r="H1" s="5"/>
      <c r="I1" s="5"/>
      <c r="J1" s="5"/>
      <c r="K1" s="1"/>
      <c r="L1" s="1"/>
      <c r="M1" s="1"/>
    </row>
    <row r="2" spans="1:13" x14ac:dyDescent="0.25">
      <c r="A2" s="1"/>
      <c r="B2" s="7" t="s">
        <v>32</v>
      </c>
      <c r="C2" s="5"/>
      <c r="D2" s="5"/>
      <c r="E2" s="5"/>
      <c r="F2" s="5"/>
      <c r="G2" s="5"/>
      <c r="H2" s="5"/>
      <c r="I2" s="5"/>
      <c r="J2" s="5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8" t="s">
        <v>33</v>
      </c>
      <c r="C4" s="8"/>
      <c r="D4" s="8" t="s">
        <v>34</v>
      </c>
      <c r="E4" s="8"/>
      <c r="F4" s="8" t="s">
        <v>35</v>
      </c>
      <c r="G4" s="8"/>
      <c r="H4" s="8" t="s">
        <v>36</v>
      </c>
      <c r="I4" s="8"/>
      <c r="J4" s="1"/>
      <c r="K4" s="1"/>
      <c r="L4" s="1"/>
      <c r="M4" s="1"/>
    </row>
    <row r="5" spans="1:13" x14ac:dyDescent="0.25">
      <c r="A5" s="1"/>
      <c r="B5" s="9">
        <f t="shared" ref="B5:C6" si="0">D14</f>
        <v>200</v>
      </c>
      <c r="C5" s="9"/>
      <c r="D5" s="10">
        <f t="shared" ref="D5:E6" si="1">G26</f>
        <v>16755.382799697527</v>
      </c>
      <c r="E5" s="10"/>
      <c r="F5" s="11">
        <f t="shared" ref="F5:G6" si="2">H26</f>
        <v>4755.3827996975269</v>
      </c>
      <c r="G5" s="11"/>
      <c r="H5" s="9">
        <f t="shared" ref="H5:I6" si="3">I26</f>
        <v>100.53229679818516</v>
      </c>
      <c r="I5" s="9"/>
      <c r="J5" s="1"/>
      <c r="K5" s="1"/>
      <c r="L5" s="1"/>
      <c r="M5" s="1"/>
    </row>
    <row r="6" spans="1:13" x14ac:dyDescent="0.25">
      <c r="A6" s="1"/>
      <c r="B6" s="9"/>
      <c r="C6" s="9"/>
      <c r="D6" s="10"/>
      <c r="E6" s="10"/>
      <c r="F6" s="11"/>
      <c r="G6" s="11"/>
      <c r="H6" s="9"/>
      <c r="I6" s="9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2" t="s">
        <v>37</v>
      </c>
      <c r="C8" s="13"/>
      <c r="D8" s="13"/>
      <c r="E8" s="13"/>
      <c r="F8" s="13"/>
      <c r="G8" s="13"/>
      <c r="H8" s="13"/>
      <c r="I8" s="13"/>
      <c r="J8" s="13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1"/>
      <c r="B10" s="15" t="s">
        <v>38</v>
      </c>
      <c r="C10" s="15"/>
      <c r="D10" s="16">
        <v>2000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1"/>
      <c r="B11" s="15" t="s">
        <v>39</v>
      </c>
      <c r="C11" s="15"/>
      <c r="D11" s="17">
        <v>0.3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/>
      <c r="B12" s="15" t="s">
        <v>40</v>
      </c>
      <c r="C12" s="15"/>
      <c r="D12" s="18">
        <f>D10*D11</f>
        <v>600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5" t="s">
        <v>41</v>
      </c>
      <c r="C14" s="15"/>
      <c r="D14" s="16">
        <v>200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5" t="s">
        <v>42</v>
      </c>
      <c r="C15" s="15"/>
      <c r="D15" s="19">
        <v>5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5" t="s">
        <v>43</v>
      </c>
      <c r="C16" s="15"/>
      <c r="D16" s="20">
        <v>4.4999999999999998E-2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5" t="s">
        <v>44</v>
      </c>
      <c r="C17" s="15"/>
      <c r="D17" s="21">
        <v>1.0789999999999999E-2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5" t="s">
        <v>45</v>
      </c>
      <c r="C18" s="15"/>
      <c r="D18" s="20">
        <v>6.0000000000000001E-3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2" t="s">
        <v>46</v>
      </c>
      <c r="C20" s="13"/>
      <c r="D20" s="13"/>
      <c r="E20" s="13"/>
      <c r="F20" s="13"/>
      <c r="G20" s="13"/>
      <c r="H20" s="13"/>
      <c r="I20" s="13"/>
      <c r="J20" s="13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7.95" customHeight="1" x14ac:dyDescent="0.25">
      <c r="A22" s="1"/>
      <c r="B22" s="22" t="s">
        <v>47</v>
      </c>
      <c r="C22" s="22" t="s">
        <v>48</v>
      </c>
      <c r="D22" s="22" t="s">
        <v>49</v>
      </c>
      <c r="E22" s="22" t="s">
        <v>50</v>
      </c>
      <c r="F22" s="22" t="s">
        <v>51</v>
      </c>
      <c r="G22" s="22" t="s">
        <v>52</v>
      </c>
      <c r="H22" s="22" t="s">
        <v>53</v>
      </c>
      <c r="I22" s="22" t="s">
        <v>54</v>
      </c>
      <c r="J22" s="22" t="s">
        <v>55</v>
      </c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23">
        <v>2</v>
      </c>
      <c r="C25" s="23">
        <f>B25*12</f>
        <v>24</v>
      </c>
      <c r="D25" s="24">
        <f>D14*(1+$D$16)^B25</f>
        <v>218.40499999999997</v>
      </c>
      <c r="E25" s="24">
        <f>D14*C25</f>
        <v>4800</v>
      </c>
      <c r="F25" s="24">
        <f>D14*12*((1+$D$16)^B25 - 1)/$D$16</f>
        <v>4907.99999999999</v>
      </c>
      <c r="G25" s="25">
        <f>FV($D$17, C25, -D14)</f>
        <v>5445.5254595290435</v>
      </c>
      <c r="H25" s="26">
        <f>G25-E25</f>
        <v>645.52545952904347</v>
      </c>
      <c r="I25" s="27">
        <f>G25*$D$18</f>
        <v>32.673152757174265</v>
      </c>
      <c r="J25" s="28">
        <f>INT(I25/100)</f>
        <v>0</v>
      </c>
      <c r="K25" s="1"/>
      <c r="L25" s="1"/>
      <c r="M25" s="1"/>
    </row>
    <row r="26" spans="1:13" x14ac:dyDescent="0.25">
      <c r="A26" s="1"/>
      <c r="B26" s="23">
        <v>5</v>
      </c>
      <c r="C26" s="23">
        <f>B26*12</f>
        <v>60</v>
      </c>
      <c r="D26" s="24">
        <f>D14*(1+$D$16)^B26</f>
        <v>249.23638753062488</v>
      </c>
      <c r="E26" s="24">
        <f>D14*C26</f>
        <v>12000</v>
      </c>
      <c r="F26" s="24">
        <f>D14*12*((1+$D$16)^B26 - 1)/$D$16</f>
        <v>13129.703341499971</v>
      </c>
      <c r="G26" s="25">
        <f>FV($D$17, C26, -D14)</f>
        <v>16755.382799697527</v>
      </c>
      <c r="H26" s="26">
        <f>G26-E26</f>
        <v>4755.3827996975269</v>
      </c>
      <c r="I26" s="27">
        <f>G26*$D$18</f>
        <v>100.53229679818516</v>
      </c>
      <c r="J26" s="28">
        <f>INT(I26/100)</f>
        <v>1</v>
      </c>
      <c r="K26" s="1"/>
      <c r="L26" s="1"/>
      <c r="M26" s="1"/>
    </row>
    <row r="27" spans="1:13" x14ac:dyDescent="0.25">
      <c r="A27" s="1"/>
      <c r="B27" s="23">
        <v>10</v>
      </c>
      <c r="C27" s="23">
        <f>B27*12</f>
        <v>120</v>
      </c>
      <c r="D27" s="24">
        <f>D14*(1+$D$16)^B27</f>
        <v>310.59388434657905</v>
      </c>
      <c r="E27" s="24">
        <f>D14*C27</f>
        <v>24000</v>
      </c>
      <c r="F27" s="24">
        <f>D14*12*((1+$D$16)^B27 - 1)/$D$16</f>
        <v>29491.702492421085</v>
      </c>
      <c r="G27" s="25">
        <f>FV($D$17, C27, -D14)</f>
        <v>48656.842506034438</v>
      </c>
      <c r="H27" s="26">
        <f>G27-E27</f>
        <v>24656.842506034438</v>
      </c>
      <c r="I27" s="27">
        <f>G27*$D$18</f>
        <v>291.94105503620665</v>
      </c>
      <c r="J27" s="28">
        <f>INT(I27/100)</f>
        <v>2</v>
      </c>
      <c r="K27" s="1"/>
      <c r="L27" s="1"/>
      <c r="M27" s="1"/>
    </row>
    <row r="28" spans="1:13" x14ac:dyDescent="0.25">
      <c r="A28" s="1"/>
      <c r="B28" s="23">
        <v>20</v>
      </c>
      <c r="C28" s="23">
        <f>B28*12</f>
        <v>240</v>
      </c>
      <c r="D28" s="24">
        <f>D14*(1+$D$16)^B28</f>
        <v>482.34280496748062</v>
      </c>
      <c r="E28" s="24">
        <f>D14*C28</f>
        <v>48000</v>
      </c>
      <c r="F28" s="24">
        <f>D14*12*((1+$D$16)^B28 - 1)/$D$16</f>
        <v>75291.414657994843</v>
      </c>
      <c r="G28" s="25">
        <f>FV($D$17, C28, -D14)</f>
        <v>225039.68001941612</v>
      </c>
      <c r="H28" s="26">
        <f>G28-E28</f>
        <v>177039.68001941612</v>
      </c>
      <c r="I28" s="27">
        <f>G28*$D$18</f>
        <v>1350.2380801164968</v>
      </c>
      <c r="J28" s="28">
        <f>INT(I28/100)</f>
        <v>13</v>
      </c>
      <c r="K28" s="1"/>
      <c r="L28" s="1"/>
      <c r="M28" s="1"/>
    </row>
    <row r="29" spans="1:13" x14ac:dyDescent="0.25">
      <c r="A29" s="1"/>
      <c r="B29" s="23">
        <v>30</v>
      </c>
      <c r="C29" s="23">
        <f>B29*12</f>
        <v>360</v>
      </c>
      <c r="D29" s="24">
        <f>D14*(1+$D$16)^B29</f>
        <v>749.06362690737114</v>
      </c>
      <c r="E29" s="24">
        <f>D14*C29</f>
        <v>72000</v>
      </c>
      <c r="F29" s="24">
        <f>D14*12*((1+$D$16)^B29 - 1)/$D$16</f>
        <v>146416.96717529898</v>
      </c>
      <c r="G29" s="25">
        <f>FV($D$17, C29, -D14)</f>
        <v>864433.93100094295</v>
      </c>
      <c r="H29" s="26">
        <f>G29-E29</f>
        <v>792433.93100094295</v>
      </c>
      <c r="I29" s="27">
        <f>G29*$D$18</f>
        <v>5186.6035860056581</v>
      </c>
      <c r="J29" s="28">
        <f>INT(I29/100)</f>
        <v>51</v>
      </c>
      <c r="K29" s="1"/>
      <c r="L29" s="1"/>
      <c r="M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2" t="s">
        <v>56</v>
      </c>
      <c r="C32" s="13"/>
      <c r="D32" s="13"/>
      <c r="E32" s="13"/>
      <c r="F32" s="13"/>
      <c r="G32" s="13"/>
      <c r="H32" s="13"/>
      <c r="I32" s="13"/>
      <c r="J32" s="13"/>
      <c r="K32" s="1"/>
      <c r="L32" s="1"/>
      <c r="M32" s="1"/>
    </row>
    <row r="33" spans="1:1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4" t="s">
        <v>57</v>
      </c>
      <c r="C34" s="29" t="s">
        <v>18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3" t="s">
        <v>58</v>
      </c>
      <c r="C35" s="25">
        <f>D14</f>
        <v>200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30" t="s">
        <v>59</v>
      </c>
      <c r="C37" s="31" t="s">
        <v>60</v>
      </c>
      <c r="D37" s="31"/>
      <c r="E37" s="31"/>
      <c r="F37" s="31"/>
      <c r="G37" s="30" t="s">
        <v>61</v>
      </c>
      <c r="H37" s="31" t="s">
        <v>62</v>
      </c>
      <c r="I37" s="31"/>
      <c r="J37" s="1"/>
      <c r="K37" s="1"/>
      <c r="L37" s="1"/>
      <c r="M37" s="1"/>
    </row>
    <row r="38" spans="1:13" x14ac:dyDescent="0.25">
      <c r="A38" s="1"/>
      <c r="B38" s="32" t="s">
        <v>6</v>
      </c>
      <c r="C38" s="33" t="s">
        <v>63</v>
      </c>
      <c r="D38" s="13"/>
      <c r="E38" s="13"/>
      <c r="F38" s="13"/>
      <c r="G38" s="34">
        <f>IFERROR(VLOOKUP($C$34&amp;"-"&amp;B38, Matriz_Alocacao!$A:$D, 4, FALSE), 0)</f>
        <v>0.32</v>
      </c>
      <c r="H38" s="35">
        <f>G38*$C$35</f>
        <v>64</v>
      </c>
      <c r="I38" s="36"/>
      <c r="J38" s="1"/>
      <c r="K38" s="1"/>
      <c r="L38" s="1"/>
      <c r="M38" s="1"/>
    </row>
    <row r="39" spans="1:13" x14ac:dyDescent="0.25">
      <c r="A39" s="1"/>
      <c r="B39" s="32" t="s">
        <v>8</v>
      </c>
      <c r="C39" s="33" t="s">
        <v>64</v>
      </c>
      <c r="D39" s="13"/>
      <c r="E39" s="13"/>
      <c r="F39" s="13"/>
      <c r="G39" s="34">
        <f>IFERROR(VLOOKUP($C$34&amp;"-"&amp;B39, Matriz_Alocacao!$A:$D, 4, FALSE), 0)</f>
        <v>0.35</v>
      </c>
      <c r="H39" s="35">
        <f>G39*$C$35</f>
        <v>70</v>
      </c>
      <c r="I39" s="36"/>
      <c r="J39" s="1"/>
      <c r="K39" s="1"/>
      <c r="L39" s="1"/>
      <c r="M39" s="1"/>
    </row>
    <row r="40" spans="1:13" x14ac:dyDescent="0.25">
      <c r="A40" s="1"/>
      <c r="B40" s="32" t="s">
        <v>10</v>
      </c>
      <c r="C40" s="33" t="s">
        <v>65</v>
      </c>
      <c r="D40" s="13"/>
      <c r="E40" s="13"/>
      <c r="F40" s="13"/>
      <c r="G40" s="34">
        <f>IFERROR(VLOOKUP($C$34&amp;"-"&amp;B40, Matriz_Alocacao!$A:$D, 4, FALSE), 0)</f>
        <v>0.08</v>
      </c>
      <c r="H40" s="35">
        <f>G40*$C$35</f>
        <v>16</v>
      </c>
      <c r="I40" s="36"/>
      <c r="J40" s="1"/>
      <c r="K40" s="1"/>
      <c r="L40" s="1"/>
      <c r="M40" s="1"/>
    </row>
    <row r="41" spans="1:13" x14ac:dyDescent="0.25">
      <c r="A41" s="1"/>
      <c r="B41" s="32" t="s">
        <v>12</v>
      </c>
      <c r="C41" s="33" t="s">
        <v>66</v>
      </c>
      <c r="D41" s="13"/>
      <c r="E41" s="13"/>
      <c r="F41" s="13"/>
      <c r="G41" s="34">
        <f>IFERROR(VLOOKUP($C$34&amp;"-"&amp;B41, Matriz_Alocacao!$A:$D, 4, FALSE), 0)</f>
        <v>0.05</v>
      </c>
      <c r="H41" s="35">
        <f>G41*$C$35</f>
        <v>10</v>
      </c>
      <c r="I41" s="36"/>
      <c r="J41" s="1"/>
      <c r="K41" s="1"/>
      <c r="L41" s="1"/>
      <c r="M41" s="1"/>
    </row>
    <row r="42" spans="1:13" x14ac:dyDescent="0.25">
      <c r="A42" s="1"/>
      <c r="B42" s="32" t="s">
        <v>14</v>
      </c>
      <c r="C42" s="33" t="s">
        <v>67</v>
      </c>
      <c r="D42" s="13"/>
      <c r="E42" s="13"/>
      <c r="F42" s="13"/>
      <c r="G42" s="34">
        <f>IFERROR(VLOOKUP($C$34&amp;"-"&amp;B42, Matriz_Alocacao!$A:$D, 4, FALSE), 0)</f>
        <v>0.1</v>
      </c>
      <c r="H42" s="35">
        <f>G42*$C$35</f>
        <v>20</v>
      </c>
      <c r="I42" s="36"/>
      <c r="J42" s="1"/>
      <c r="K42" s="1"/>
      <c r="L42" s="1"/>
      <c r="M42" s="1"/>
    </row>
    <row r="43" spans="1:13" x14ac:dyDescent="0.25">
      <c r="A43" s="1"/>
      <c r="B43" s="32" t="s">
        <v>16</v>
      </c>
      <c r="C43" s="33" t="s">
        <v>68</v>
      </c>
      <c r="D43" s="13"/>
      <c r="E43" s="13"/>
      <c r="F43" s="13"/>
      <c r="G43" s="34">
        <f>IFERROR(VLOOKUP($C$34&amp;"-"&amp;B43, Matriz_Alocacao!$A:$D, 4, FALSE), 0)</f>
        <v>0.1</v>
      </c>
      <c r="H43" s="35">
        <f>G43*$C$35</f>
        <v>20</v>
      </c>
      <c r="I43" s="36"/>
      <c r="J43" s="1"/>
      <c r="K43" s="1"/>
      <c r="L43" s="1"/>
      <c r="M43" s="1"/>
    </row>
    <row r="44" spans="1:13" x14ac:dyDescent="0.25">
      <c r="A44" s="1"/>
      <c r="B44" s="37" t="s">
        <v>69</v>
      </c>
      <c r="C44" s="38"/>
      <c r="D44" s="38"/>
      <c r="E44" s="38"/>
      <c r="F44" s="38"/>
      <c r="G44" s="34">
        <f>SUM(G38:G43)</f>
        <v>0.99999999999999989</v>
      </c>
      <c r="H44" s="35">
        <f>SUM(H38:H43)</f>
        <v>200</v>
      </c>
      <c r="I44" s="36"/>
      <c r="J44" s="1"/>
      <c r="K44" s="1"/>
      <c r="L44" s="1"/>
      <c r="M44" s="1"/>
    </row>
    <row r="45" spans="1:1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CalcPr fullCalcOnLoad="1"/>
  <mergeCells count="36">
    <mergeCell ref="H44:I44"/>
    <mergeCell ref="C41:F41"/>
    <mergeCell ref="H41:I41"/>
    <mergeCell ref="C42:F42"/>
    <mergeCell ref="H42:I42"/>
    <mergeCell ref="C43:F43"/>
    <mergeCell ref="H43:I43"/>
    <mergeCell ref="C38:F38"/>
    <mergeCell ref="H38:I38"/>
    <mergeCell ref="C39:F39"/>
    <mergeCell ref="H39:I39"/>
    <mergeCell ref="C40:F40"/>
    <mergeCell ref="H40:I40"/>
    <mergeCell ref="B16:C16"/>
    <mergeCell ref="B17:C17"/>
    <mergeCell ref="B18:C18"/>
    <mergeCell ref="B20:J20"/>
    <mergeCell ref="B32:J32"/>
    <mergeCell ref="C37:F37"/>
    <mergeCell ref="H37:I37"/>
    <mergeCell ref="B8:J8"/>
    <mergeCell ref="B10:C10"/>
    <mergeCell ref="B11:C11"/>
    <mergeCell ref="B12:C12"/>
    <mergeCell ref="B14:C14"/>
    <mergeCell ref="B15:C15"/>
    <mergeCell ref="B1:J1"/>
    <mergeCell ref="B2:J2"/>
    <mergeCell ref="B4:C4"/>
    <mergeCell ref="B5:C6"/>
    <mergeCell ref="D4:E4"/>
    <mergeCell ref="D5:E6"/>
    <mergeCell ref="F4:G4"/>
    <mergeCell ref="F5:G6"/>
    <mergeCell ref="H4:I4"/>
    <mergeCell ref="H5:I6"/>
  </mergeCells>
  <dataValidations count="1">
    <dataValidation type="list" allowBlank="1" showInputMessage="1" showErrorMessage="1" sqref="C34">
      <formula1>"Conservador, Moderado, 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defaultRowHeight="15" x14ac:dyDescent="0.25"/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</row>
    <row r="3" spans="1:6" x14ac:dyDescent="0.25">
      <c r="A3" s="3" t="s">
        <v>4</v>
      </c>
      <c r="B3" s="3" t="s">
        <v>5</v>
      </c>
      <c r="C3" s="3" t="s">
        <v>6</v>
      </c>
      <c r="D3" s="4">
        <v>0.3</v>
      </c>
      <c r="E3" s="1"/>
      <c r="F3" s="1"/>
    </row>
    <row r="4" spans="1:6" x14ac:dyDescent="0.25">
      <c r="A4" s="3" t="s">
        <v>7</v>
      </c>
      <c r="B4" s="3" t="s">
        <v>5</v>
      </c>
      <c r="C4" s="3" t="s">
        <v>8</v>
      </c>
      <c r="D4" s="4">
        <v>0.5</v>
      </c>
      <c r="E4" s="1"/>
      <c r="F4" s="1"/>
    </row>
    <row r="5" spans="1:6" x14ac:dyDescent="0.25">
      <c r="A5" s="3" t="s">
        <v>9</v>
      </c>
      <c r="B5" s="3" t="s">
        <v>5</v>
      </c>
      <c r="C5" s="3" t="s">
        <v>10</v>
      </c>
      <c r="D5" s="4">
        <v>0.1</v>
      </c>
      <c r="E5" s="1"/>
      <c r="F5" s="1"/>
    </row>
    <row r="6" spans="1:6" x14ac:dyDescent="0.25">
      <c r="A6" s="3" t="s">
        <v>11</v>
      </c>
      <c r="B6" s="3" t="s">
        <v>5</v>
      </c>
      <c r="C6" s="3" t="s">
        <v>12</v>
      </c>
      <c r="D6" s="4">
        <v>0.1</v>
      </c>
      <c r="E6" s="1"/>
      <c r="F6" s="1"/>
    </row>
    <row r="7" spans="1:6" x14ac:dyDescent="0.25">
      <c r="A7" s="3" t="s">
        <v>13</v>
      </c>
      <c r="B7" s="3" t="s">
        <v>5</v>
      </c>
      <c r="C7" s="3" t="s">
        <v>14</v>
      </c>
      <c r="D7" s="4">
        <v>0</v>
      </c>
      <c r="E7" s="1"/>
      <c r="F7" s="1"/>
    </row>
    <row r="8" spans="1:6" x14ac:dyDescent="0.25">
      <c r="A8" s="3" t="s">
        <v>15</v>
      </c>
      <c r="B8" s="3" t="s">
        <v>5</v>
      </c>
      <c r="C8" s="3" t="s">
        <v>16</v>
      </c>
      <c r="D8" s="4">
        <v>0</v>
      </c>
      <c r="E8" s="1"/>
      <c r="F8" s="1"/>
    </row>
    <row r="9" spans="1:6" x14ac:dyDescent="0.25">
      <c r="A9" s="3" t="s">
        <v>17</v>
      </c>
      <c r="B9" s="3" t="s">
        <v>18</v>
      </c>
      <c r="C9" s="3" t="s">
        <v>6</v>
      </c>
      <c r="D9" s="4">
        <v>0.32</v>
      </c>
      <c r="E9" s="1"/>
      <c r="F9" s="1"/>
    </row>
    <row r="10" spans="1:6" x14ac:dyDescent="0.25">
      <c r="A10" s="3" t="s">
        <v>19</v>
      </c>
      <c r="B10" s="3" t="s">
        <v>18</v>
      </c>
      <c r="C10" s="3" t="s">
        <v>8</v>
      </c>
      <c r="D10" s="4">
        <v>0.35</v>
      </c>
      <c r="E10" s="1"/>
      <c r="F10" s="1"/>
    </row>
    <row r="11" spans="1:6" x14ac:dyDescent="0.25">
      <c r="A11" s="3" t="s">
        <v>20</v>
      </c>
      <c r="B11" s="3" t="s">
        <v>18</v>
      </c>
      <c r="C11" s="3" t="s">
        <v>10</v>
      </c>
      <c r="D11" s="4">
        <v>0.08</v>
      </c>
      <c r="E11" s="1"/>
      <c r="F11" s="1"/>
    </row>
    <row r="12" spans="1:6" x14ac:dyDescent="0.25">
      <c r="A12" s="3" t="s">
        <v>21</v>
      </c>
      <c r="B12" s="3" t="s">
        <v>18</v>
      </c>
      <c r="C12" s="3" t="s">
        <v>12</v>
      </c>
      <c r="D12" s="4">
        <v>0.05</v>
      </c>
      <c r="E12" s="1"/>
      <c r="F12" s="1"/>
    </row>
    <row r="13" spans="1:6" x14ac:dyDescent="0.25">
      <c r="A13" s="3" t="s">
        <v>22</v>
      </c>
      <c r="B13" s="3" t="s">
        <v>18</v>
      </c>
      <c r="C13" s="3" t="s">
        <v>14</v>
      </c>
      <c r="D13" s="4">
        <v>0.1</v>
      </c>
      <c r="E13" s="1"/>
      <c r="F13" s="1"/>
    </row>
    <row r="14" spans="1:6" x14ac:dyDescent="0.25">
      <c r="A14" s="3" t="s">
        <v>23</v>
      </c>
      <c r="B14" s="3" t="s">
        <v>18</v>
      </c>
      <c r="C14" s="3" t="s">
        <v>16</v>
      </c>
      <c r="D14" s="4">
        <v>0.1</v>
      </c>
      <c r="E14" s="1"/>
      <c r="F14" s="1"/>
    </row>
    <row r="15" spans="1:6" x14ac:dyDescent="0.25">
      <c r="A15" s="3" t="s">
        <v>24</v>
      </c>
      <c r="B15" s="3" t="s">
        <v>25</v>
      </c>
      <c r="C15" s="3" t="s">
        <v>6</v>
      </c>
      <c r="D15" s="4">
        <v>0.5</v>
      </c>
      <c r="E15" s="1"/>
      <c r="F15" s="1"/>
    </row>
    <row r="16" spans="1:6" x14ac:dyDescent="0.25">
      <c r="A16" s="3" t="s">
        <v>26</v>
      </c>
      <c r="B16" s="3" t="s">
        <v>25</v>
      </c>
      <c r="C16" s="3" t="s">
        <v>8</v>
      </c>
      <c r="D16" s="4">
        <v>0.1</v>
      </c>
      <c r="E16" s="1"/>
      <c r="F16" s="1"/>
    </row>
    <row r="17" spans="1:6" x14ac:dyDescent="0.25">
      <c r="A17" s="3" t="s">
        <v>27</v>
      </c>
      <c r="B17" s="3" t="s">
        <v>25</v>
      </c>
      <c r="C17" s="3" t="s">
        <v>10</v>
      </c>
      <c r="D17" s="4">
        <v>0.05</v>
      </c>
      <c r="E17" s="1"/>
      <c r="F17" s="1"/>
    </row>
    <row r="18" spans="1:6" x14ac:dyDescent="0.25">
      <c r="A18" s="3" t="s">
        <v>28</v>
      </c>
      <c r="B18" s="3" t="s">
        <v>25</v>
      </c>
      <c r="C18" s="3" t="s">
        <v>12</v>
      </c>
      <c r="D18" s="4">
        <v>0.05</v>
      </c>
      <c r="E18" s="1"/>
      <c r="F18" s="1"/>
    </row>
    <row r="19" spans="1:6" x14ac:dyDescent="0.25">
      <c r="A19" s="3" t="s">
        <v>29</v>
      </c>
      <c r="B19" s="3" t="s">
        <v>25</v>
      </c>
      <c r="C19" s="3" t="s">
        <v>14</v>
      </c>
      <c r="D19" s="4">
        <v>0.2</v>
      </c>
      <c r="E19" s="1"/>
      <c r="F19" s="1"/>
    </row>
    <row r="20" spans="1:6" x14ac:dyDescent="0.25">
      <c r="A20" s="3" t="s">
        <v>30</v>
      </c>
      <c r="B20" s="3" t="s">
        <v>25</v>
      </c>
      <c r="C20" s="3" t="s">
        <v>16</v>
      </c>
      <c r="D20" s="4">
        <v>0.1</v>
      </c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 FIIs</vt:lpstr>
      <vt:lpstr>Matriz_Alocacao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Rodrigues</dc:creator>
  <cp:lastModifiedBy>Enrico Rodrigues</cp:lastModifiedBy>
  <dcterms:created xsi:type="dcterms:W3CDTF">2026-09-17T17:56:18Z</dcterms:created>
  <dcterms:modified xsi:type="dcterms:W3CDTF">2026-09-17T17:56:39Z</dcterms:modified>
</cp:coreProperties>
</file>